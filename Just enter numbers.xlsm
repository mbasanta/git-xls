
<file path=[Content_Types].xml><?xml version="1.0" encoding="utf-8"?>
<Types xmlns="http://schemas.openxmlformats.org/package/2006/content-types">
  <Default Extension="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135" windowWidth="19440" windowHeight="14085"/>
  </bookViews>
  <sheets>
    <sheet name="Sheet1" sheetId="1" r:id="rId1"/>
    <sheet name="Sheet2" sheetId="2" r:id="rId2"/>
    <sheet name="Sheet3" sheetId="3" r:id="rId3"/>
  </sheets>
  <definedNames>
    <definedName name="_c">Sheet1!$I$9</definedName>
    <definedName name="_ctp">Sheet1!$I$10</definedName>
    <definedName name="_g">Sheet1!$K$9</definedName>
    <definedName name="_h">Sheet1!$D$12</definedName>
    <definedName name="_hunit">Sheet1!$F$12</definedName>
    <definedName name="_P">Sheet1!$N$10</definedName>
    <definedName name="_Punit">Sheet1!$Q$10</definedName>
    <definedName name="_s">Sheet1!$D$11</definedName>
    <definedName name="_sunit">Sheet1!$F$11</definedName>
    <definedName name="_T">Sheet1!$N$9</definedName>
    <definedName name="_timeunit">Sheet1!$G$16</definedName>
    <definedName name="_Tunit">Sheet1!$Q$9</definedName>
    <definedName name="_v0">Sheet1!$D$9</definedName>
    <definedName name="_vunit">Sheet1!$F$9</definedName>
    <definedName name="_vw">Sheet1!$D$19:$D$31</definedName>
    <definedName name="_vwunit">Sheet1!$G$15</definedName>
    <definedName name="_vxunit">Sheet1!$G$14</definedName>
    <definedName name="_x">Sheet1!$C$19:$C$31</definedName>
    <definedName name="_xunit">Sheet1!$D$14</definedName>
    <definedName name="_ynit">Sheet1!$D$15</definedName>
    <definedName name="_yunit">Sheet1!$D$15</definedName>
    <definedName name="_zero">Sheet1!$D$10</definedName>
    <definedName name="_zunit">Sheet1!$D$16</definedName>
    <definedName name="_zxunit">Sheet1!$F$10</definedName>
    <definedName name="gp">Sheet1!$K$9</definedName>
  </definedNames>
  <calcPr calcId="125725"/>
</workbook>
</file>

<file path=xl/calcChain.xml><?xml version="1.0" encoding="utf-8"?>
<calcChain xmlns="http://schemas.openxmlformats.org/spreadsheetml/2006/main">
  <c r="I10" i="1"/>
  <c r="G30"/>
  <c r="G26"/>
  <c r="G22"/>
  <c r="H31"/>
  <c r="H27"/>
  <c r="H23"/>
  <c r="E19"/>
  <c r="E28"/>
  <c r="E24"/>
  <c r="E20"/>
  <c r="G29"/>
  <c r="G25"/>
  <c r="G21"/>
  <c r="H30"/>
  <c r="H26"/>
  <c r="H22"/>
  <c r="E31"/>
  <c r="E27"/>
  <c r="E23"/>
  <c r="F30"/>
  <c r="F26"/>
  <c r="F22"/>
  <c r="F31"/>
  <c r="F23"/>
  <c r="F19"/>
  <c r="F27"/>
  <c r="F21"/>
  <c r="F25"/>
  <c r="F29"/>
  <c r="F20"/>
  <c r="F24"/>
  <c r="F28"/>
  <c r="E21"/>
  <c r="E25"/>
  <c r="E29"/>
  <c r="H20"/>
  <c r="H24"/>
  <c r="H28"/>
  <c r="H19"/>
  <c r="G23"/>
  <c r="G27"/>
  <c r="G31"/>
  <c r="E22"/>
  <c r="E26"/>
  <c r="E30"/>
  <c r="H21"/>
  <c r="H25"/>
  <c r="H29"/>
  <c r="G20"/>
  <c r="G24"/>
  <c r="G28"/>
  <c r="G19"/>
  <c r="C33"/>
  <c r="C3"/>
</calcChain>
</file>

<file path=xl/sharedStrings.xml><?xml version="1.0" encoding="utf-8"?>
<sst xmlns="http://schemas.openxmlformats.org/spreadsheetml/2006/main" count="42" uniqueCount="35">
  <si>
    <t>_zero</t>
  </si>
  <si>
    <t>_s</t>
  </si>
  <si>
    <t>_h</t>
  </si>
  <si>
    <t>_c</t>
  </si>
  <si>
    <t>_g</t>
  </si>
  <si>
    <t>gp</t>
  </si>
  <si>
    <t>_v0</t>
  </si>
  <si>
    <t>y</t>
  </si>
  <si>
    <t>z</t>
  </si>
  <si>
    <t>vw</t>
  </si>
  <si>
    <t>x</t>
  </si>
  <si>
    <t>vx</t>
  </si>
  <si>
    <t>t</t>
  </si>
  <si>
    <t>_T</t>
  </si>
  <si>
    <t>_P</t>
  </si>
  <si>
    <t>_ctp</t>
  </si>
  <si>
    <t>_Punit</t>
  </si>
  <si>
    <t>atm</t>
  </si>
  <si>
    <t>c</t>
  </si>
  <si>
    <t>_Tunit</t>
  </si>
  <si>
    <t>_vunit</t>
  </si>
  <si>
    <t>m/s</t>
  </si>
  <si>
    <t>_hunit</t>
  </si>
  <si>
    <t>m</t>
  </si>
  <si>
    <t>_sunit</t>
  </si>
  <si>
    <t>_xunit</t>
  </si>
  <si>
    <t>_vwunit</t>
  </si>
  <si>
    <t>_zunit</t>
  </si>
  <si>
    <t>_yunit</t>
  </si>
  <si>
    <t>_vxunit</t>
  </si>
  <si>
    <t>s</t>
  </si>
  <si>
    <t>_timeunit</t>
  </si>
  <si>
    <t>_zxunit</t>
  </si>
  <si>
    <t>First set the correct path to BfX.xll in the VBA MACRO!!!!</t>
  </si>
  <si>
    <t>Calculated with</t>
  </si>
</sst>
</file>

<file path=xl/styles.xml><?xml version="1.0" encoding="utf-8"?>
<styleSheet xmlns="http://schemas.openxmlformats.org/spreadsheetml/2006/main">
  <numFmts count="1">
    <numFmt numFmtId="164" formatCode="0.000"/>
  </numFmts>
  <fonts count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/>
    <xf numFmtId="49" fontId="0" fillId="0" borderId="1" xfId="0" applyNumberFormat="1" applyBorder="1"/>
    <xf numFmtId="2" fontId="0" fillId="0" borderId="1" xfId="0" applyNumberForma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2" fontId="0" fillId="0" borderId="6" xfId="0" applyNumberFormat="1" applyBorder="1"/>
    <xf numFmtId="0" fontId="0" fillId="0" borderId="7" xfId="0" applyBorder="1"/>
    <xf numFmtId="0" fontId="0" fillId="0" borderId="8" xfId="0" applyBorder="1"/>
    <xf numFmtId="2" fontId="0" fillId="0" borderId="8" xfId="0" applyNumberFormat="1" applyBorder="1"/>
    <xf numFmtId="2" fontId="0" fillId="0" borderId="9" xfId="0" applyNumberFormat="1" applyBorder="1"/>
    <xf numFmtId="164" fontId="0" fillId="0" borderId="1" xfId="0" applyNumberFormat="1" applyBorder="1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C2:Q33"/>
  <sheetViews>
    <sheetView tabSelected="1" workbookViewId="0">
      <selection activeCell="Q13" sqref="Q13"/>
    </sheetView>
  </sheetViews>
  <sheetFormatPr defaultRowHeight="15"/>
  <cols>
    <col min="21" max="21" width="11" bestFit="1" customWidth="1"/>
  </cols>
  <sheetData>
    <row r="2" spans="3:17">
      <c r="C2" s="14" t="s">
        <v>34</v>
      </c>
      <c r="D2" s="14"/>
      <c r="E2" s="14"/>
      <c r="F2" s="14"/>
      <c r="G2" s="14"/>
      <c r="H2" s="14"/>
      <c r="I2" s="14"/>
      <c r="J2" s="14"/>
      <c r="K2" s="14"/>
    </row>
    <row r="3" spans="3:17">
      <c r="C3" s="14" t="str">
        <f>_xll.BfX_Help(1)</f>
        <v>=====BfX Excel 2007==(C) Robert Meijer==Bld: May  3 2010 11:56:02 (Release)=====</v>
      </c>
      <c r="D3" s="14"/>
      <c r="E3" s="14"/>
      <c r="F3" s="14"/>
      <c r="G3" s="14"/>
      <c r="H3" s="14"/>
      <c r="I3" s="14"/>
      <c r="J3" s="14"/>
      <c r="K3" s="14"/>
    </row>
    <row r="9" spans="3:17">
      <c r="C9" s="1" t="s">
        <v>6</v>
      </c>
      <c r="D9" s="3">
        <v>740</v>
      </c>
      <c r="E9" s="1" t="s">
        <v>20</v>
      </c>
      <c r="F9" s="2" t="s">
        <v>21</v>
      </c>
      <c r="H9" s="1" t="s">
        <v>3</v>
      </c>
      <c r="I9" s="3">
        <v>0.5</v>
      </c>
      <c r="J9" s="1" t="s">
        <v>4</v>
      </c>
      <c r="K9" s="2" t="s">
        <v>5</v>
      </c>
      <c r="L9" s="1"/>
      <c r="M9" s="1" t="s">
        <v>13</v>
      </c>
      <c r="N9" s="3">
        <v>15</v>
      </c>
      <c r="O9" s="1"/>
      <c r="P9" s="1" t="s">
        <v>19</v>
      </c>
      <c r="Q9" s="2" t="s">
        <v>18</v>
      </c>
    </row>
    <row r="10" spans="3:17">
      <c r="C10" s="1" t="s">
        <v>0</v>
      </c>
      <c r="D10" s="3">
        <v>300</v>
      </c>
      <c r="E10" s="1" t="s">
        <v>32</v>
      </c>
      <c r="F10" s="2" t="s">
        <v>23</v>
      </c>
      <c r="H10" s="1" t="s">
        <v>15</v>
      </c>
      <c r="I10" s="13">
        <f>_xll.BfX_C(_T,_Tunit,_P,_Punit)*_c</f>
        <v>0.49346044905008635</v>
      </c>
      <c r="J10" s="1"/>
      <c r="K10" s="1"/>
      <c r="L10" s="1"/>
      <c r="M10" s="1" t="s">
        <v>14</v>
      </c>
      <c r="N10" s="3">
        <v>1</v>
      </c>
      <c r="O10" s="1"/>
      <c r="P10" s="1" t="s">
        <v>16</v>
      </c>
      <c r="Q10" s="2" t="s">
        <v>17</v>
      </c>
    </row>
    <row r="11" spans="3:17">
      <c r="C11" s="1" t="s">
        <v>1</v>
      </c>
      <c r="D11" s="3">
        <v>0.05</v>
      </c>
      <c r="E11" s="1" t="s">
        <v>24</v>
      </c>
      <c r="F11" s="2" t="s">
        <v>23</v>
      </c>
    </row>
    <row r="12" spans="3:17">
      <c r="C12" s="1" t="s">
        <v>2</v>
      </c>
      <c r="D12" s="3">
        <v>0</v>
      </c>
      <c r="E12" s="1" t="s">
        <v>22</v>
      </c>
      <c r="F12" s="2" t="s">
        <v>23</v>
      </c>
    </row>
    <row r="14" spans="3:17">
      <c r="C14" s="1" t="s">
        <v>25</v>
      </c>
      <c r="D14" s="2" t="s">
        <v>23</v>
      </c>
      <c r="E14" s="1"/>
      <c r="F14" s="1" t="s">
        <v>29</v>
      </c>
      <c r="G14" s="2" t="s">
        <v>21</v>
      </c>
    </row>
    <row r="15" spans="3:17">
      <c r="C15" s="1" t="s">
        <v>28</v>
      </c>
      <c r="D15" s="2" t="s">
        <v>23</v>
      </c>
      <c r="E15" s="1"/>
      <c r="F15" s="1" t="s">
        <v>26</v>
      </c>
      <c r="G15" s="2" t="s">
        <v>21</v>
      </c>
    </row>
    <row r="16" spans="3:17">
      <c r="C16" s="1" t="s">
        <v>27</v>
      </c>
      <c r="D16" s="2" t="s">
        <v>23</v>
      </c>
      <c r="E16" s="1"/>
      <c r="F16" s="1" t="s">
        <v>31</v>
      </c>
      <c r="G16" s="2" t="s">
        <v>30</v>
      </c>
    </row>
    <row r="17" spans="3:13" ht="15.75" thickBot="1"/>
    <row r="18" spans="3:13">
      <c r="C18" s="4" t="s">
        <v>10</v>
      </c>
      <c r="D18" s="5" t="s">
        <v>9</v>
      </c>
      <c r="E18" s="5" t="s">
        <v>8</v>
      </c>
      <c r="F18" s="5" t="s">
        <v>7</v>
      </c>
      <c r="G18" s="5" t="s">
        <v>11</v>
      </c>
      <c r="H18" s="6" t="s">
        <v>12</v>
      </c>
    </row>
    <row r="19" spans="3:13">
      <c r="C19" s="7">
        <v>0</v>
      </c>
      <c r="D19" s="1">
        <v>3</v>
      </c>
      <c r="E19" s="3">
        <f>_xll.BfX_Zx(_zunit,_v0,_vunit,_s,_sunit,_h,_hunit,_zero,_zxunit,C19,_xunit,_ctp,_g)</f>
        <v>-0.05</v>
      </c>
      <c r="F19" s="3">
        <f>_xll.BfX_Y(_yunit,_v0,_vunit,_x,_xunit,_vw,_vwunit,C19,_xunit,_ctp,_g)</f>
        <v>0</v>
      </c>
      <c r="G19" s="3">
        <f>_xll.BfX_Vx(_vxunit,_v0,_vunit,C19,_xunit,_ctp,_g)</f>
        <v>740</v>
      </c>
      <c r="H19" s="8">
        <f>_xll.BfX_Tx(_timeunit,_v0,C19,_ctp,_g)</f>
        <v>0</v>
      </c>
    </row>
    <row r="20" spans="3:13">
      <c r="C20" s="7">
        <v>25</v>
      </c>
      <c r="D20" s="1">
        <v>3</v>
      </c>
      <c r="E20" s="3">
        <f>_xll.BfX_Zx(_zunit,_v0,_vunit,_s,_sunit,_h,_hunit,_zero,_zxunit,C20,_xunit,_ctp,_g)</f>
        <v>2.8515541081397769E-2</v>
      </c>
      <c r="F20" s="3">
        <f>_xll.BfX_Y(_yunit,_v0,_vunit,_x,_xunit,_vw,_vwunit,C20,_xunit,_ctp,_g)</f>
        <v>1.0403779263655993E-3</v>
      </c>
      <c r="G20" s="3">
        <f>_xll.BfX_Vx(_vxunit,_v0,_vunit,C20,_xunit,_ctp,_g)</f>
        <v>725.03847158094607</v>
      </c>
      <c r="H20" s="8">
        <f>_xll.BfX_Tx(_timeunit,_v0,C20,_ctp,_g)</f>
        <v>3.413057642590555E-2</v>
      </c>
    </row>
    <row r="21" spans="3:13">
      <c r="C21" s="7">
        <v>50</v>
      </c>
      <c r="D21" s="1">
        <v>3</v>
      </c>
      <c r="E21" s="3">
        <f>_xll.BfX_Zx(_zunit,_v0,_vunit,_s,_sunit,_h,_hunit,_zero,_zxunit,C21,_xunit,_ctp,_g)</f>
        <v>9.5369570123761224E-2</v>
      </c>
      <c r="F21" s="3">
        <f>_xll.BfX_Y(_yunit,_v0,_vunit,_x,_xunit,_vw,_vwunit,C21,_xunit,_ctp,_g)</f>
        <v>4.2046729346964717E-3</v>
      </c>
      <c r="G21" s="3">
        <f>_xll.BfX_Vx(_vxunit,_v0,_vunit,C21,_xunit,_ctp,_g)</f>
        <v>710.22973994756774</v>
      </c>
      <c r="H21" s="8">
        <f>_xll.BfX_Tx(_timeunit,_v0,C21,_ctp,_g)</f>
        <v>6.8969125212466703E-2</v>
      </c>
      <c r="M21" t="s">
        <v>33</v>
      </c>
    </row>
    <row r="22" spans="3:13">
      <c r="C22" s="7">
        <v>75</v>
      </c>
      <c r="D22" s="1">
        <v>3</v>
      </c>
      <c r="E22" s="3">
        <f>_xll.BfX_Zx(_zunit,_v0,_vunit,_s,_sunit,_h,_hunit,_zero,_zxunit,C22,_xunit,_ctp,_g)</f>
        <v>0.15007067324444595</v>
      </c>
      <c r="F22" s="3">
        <f>_xll.BfX_Y(_yunit,_v0,_vunit,_x,_xunit,_vw,_vwunit,C22,_xunit,_ctp,_g)</f>
        <v>9.5596623956269756E-3</v>
      </c>
      <c r="G22" s="3">
        <f>_xll.BfX_Vx(_vxunit,_v0,_vunit,C22,_xunit,_ctp,_g)</f>
        <v>695.57380509986479</v>
      </c>
      <c r="H22" s="8">
        <f>_xll.BfX_Tx(_timeunit,_v0,C22,_ctp,_g)</f>
        <v>0.10453790548322715</v>
      </c>
    </row>
    <row r="23" spans="3:13">
      <c r="C23" s="7">
        <v>100</v>
      </c>
      <c r="D23" s="1">
        <v>3</v>
      </c>
      <c r="E23" s="3">
        <f>_xll.BfX_Zx(_zunit,_v0,_vunit,_s,_sunit,_h,_hunit,_zero,_zxunit,C23,_xunit,_ctp,_g)</f>
        <v>0.19210127609750904</v>
      </c>
      <c r="F23" s="3">
        <f>_xll.BfX_Y(_yunit,_v0,_vunit,_x,_xunit,_vw,_vwunit,C23,_xunit,_ctp,_g)</f>
        <v>1.7174952695300796E-2</v>
      </c>
      <c r="G23" s="3">
        <f>_xll.BfX_Vx(_vxunit,_v0,_vunit,C23,_xunit,_ctp,_g)</f>
        <v>681.07066703783755</v>
      </c>
      <c r="H23" s="8">
        <f>_xll.BfX_Tx(_timeunit,_v0,C23,_ctp,_g)</f>
        <v>0.14086011936690229</v>
      </c>
    </row>
    <row r="24" spans="3:13">
      <c r="C24" s="7">
        <v>125</v>
      </c>
      <c r="D24" s="1">
        <v>3</v>
      </c>
      <c r="E24" s="3">
        <f>_xll.BfX_Zx(_zunit,_v0,_vunit,_s,_sunit,_h,_hunit,_zero,_zxunit,C24,_xunit,_ctp,_g)</f>
        <v>0.22091595471971609</v>
      </c>
      <c r="F24" s="3">
        <f>_xll.BfX_Y(_yunit,_v0,_vunit,_x,_xunit,_vw,_vwunit,C24,_xunit,_ctp,_g)</f>
        <v>2.7123130652719769E-2</v>
      </c>
      <c r="G24" s="3">
        <f>_xll.BfX_Vx(_vxunit,_v0,_vunit,C24,_xunit,_ctp,_g)</f>
        <v>666.72032576148581</v>
      </c>
      <c r="H24" s="8">
        <f>_xll.BfX_Tx(_timeunit,_v0,C24,_ctp,_g)</f>
        <v>0.17795996246982518</v>
      </c>
    </row>
    <row r="25" spans="3:13">
      <c r="C25" s="7">
        <v>150</v>
      </c>
      <c r="D25" s="1">
        <v>3</v>
      </c>
      <c r="E25" s="3">
        <f>_xll.BfX_Zx(_zunit,_v0,_vunit,_s,_sunit,_h,_hunit,_zero,_zxunit,C25,_xunit,_ctp,_g)</f>
        <v>0.23593961774892686</v>
      </c>
      <c r="F25" s="3">
        <f>_xll.BfX_Y(_yunit,_v0,_vunit,_x,_xunit,_vw,_vwunit,C25,_xunit,_ctp,_g)</f>
        <v>3.9479924767457868E-2</v>
      </c>
      <c r="G25" s="3">
        <f>_xll.BfX_Vx(_vxunit,_v0,_vunit,C25,_xunit,_ctp,_g)</f>
        <v>652.52278127080967</v>
      </c>
      <c r="H25" s="8">
        <f>_xll.BfX_Tx(_timeunit,_v0,C25,_ctp,_g)</f>
        <v>0.21586267762518913</v>
      </c>
    </row>
    <row r="26" spans="3:13">
      <c r="C26" s="7">
        <v>175</v>
      </c>
      <c r="D26" s="1">
        <v>3</v>
      </c>
      <c r="E26" s="3">
        <f>_xll.BfX_Zx(_zunit,_v0,_vunit,_s,_sunit,_h,_hunit,_zero,_zxunit,C26,_xunit,_ctp,_g)</f>
        <v>0.2365655486975623</v>
      </c>
      <c r="F26" s="3">
        <f>_xll.BfX_Y(_yunit,_v0,_vunit,_x,_xunit,_vw,_vwunit,C26,_xunit,_ctp,_g)</f>
        <v>5.4324377050543153E-2</v>
      </c>
      <c r="G26" s="3">
        <f>_xll.BfX_Vx(_vxunit,_v0,_vunit,C26,_xunit,_ctp,_g)</f>
        <v>638.47803356580903</v>
      </c>
      <c r="H26" s="8">
        <f>_xll.BfX_Tx(_timeunit,_v0,C26,_ctp,_g)</f>
        <v>0.25459461217000073</v>
      </c>
    </row>
    <row r="27" spans="3:13">
      <c r="C27" s="7">
        <v>200</v>
      </c>
      <c r="D27" s="1">
        <v>3</v>
      </c>
      <c r="E27" s="3">
        <f>_xll.BfX_Zx(_zunit,_v0,_vunit,_s,_sunit,_h,_hunit,_zero,_zxunit,C27,_xunit,_ctp,_g)</f>
        <v>0.22215329583140314</v>
      </c>
      <c r="F27" s="3">
        <f>_xll.BfX_Y(_yunit,_v0,_vunit,_x,_xunit,_vw,_vwunit,C27,_xunit,_ctp,_g)</f>
        <v>7.1739026257751554E-2</v>
      </c>
      <c r="G27" s="3">
        <f>_xll.BfX_Vx(_vxunit,_v0,_vunit,C27,_xunit,_ctp,_g)</f>
        <v>624.58608264648399</v>
      </c>
      <c r="H27" s="8">
        <f>_xll.BfX_Tx(_timeunit,_v0,C27,_ctp,_g)</f>
        <v>0.29418327902285418</v>
      </c>
    </row>
    <row r="28" spans="3:13">
      <c r="C28" s="7">
        <v>225</v>
      </c>
      <c r="D28" s="1">
        <v>3</v>
      </c>
      <c r="E28" s="3">
        <f>_xll.BfX_Zx(_zunit,_v0,_vunit,_s,_sunit,_h,_hunit,_zero,_zxunit,C28,_xunit,_ctp,_g)</f>
        <v>0.19202639594389342</v>
      </c>
      <c r="F28" s="3">
        <f>_xll.BfX_Y(_yunit,_v0,_vunit,_x,_xunit,_vw,_vwunit,C28,_xunit,_ctp,_g)</f>
        <v>9.1810103418022482E-2</v>
      </c>
      <c r="G28" s="3">
        <f>_xll.BfX_Vx(_vxunit,_v0,_vunit,C28,_xunit,_ctp,_g)</f>
        <v>610.84692851283432</v>
      </c>
      <c r="H28" s="8">
        <f>_xll.BfX_Tx(_timeunit,_v0,C28,_ctp,_g)</f>
        <v>0.33465742186006231</v>
      </c>
    </row>
    <row r="29" spans="3:13">
      <c r="C29" s="7">
        <v>250</v>
      </c>
      <c r="D29" s="1">
        <v>3</v>
      </c>
      <c r="E29" s="3">
        <f>_xll.BfX_Zx(_zunit,_v0,_vunit,_s,_sunit,_h,_hunit,_zero,_zxunit,C29,_xunit,_ctp,_g)</f>
        <v>0.14546991691280692</v>
      </c>
      <c r="F29" s="3">
        <f>_xll.BfX_Y(_yunit,_v0,_vunit,_x,_xunit,_vw,_vwunit,C29,_xunit,_ctp,_g)</f>
        <v>0.11462774063034753</v>
      </c>
      <c r="G29" s="3">
        <f>_xll.BfX_Vx(_vxunit,_v0,_vunit,C29,_xunit,_ctp,_g)</f>
        <v>597.26057116486049</v>
      </c>
      <c r="H29" s="8">
        <f>_xll.BfX_Tx(_timeunit,_v0,C29,_ctp,_g)</f>
        <v>0.37604708471461923</v>
      </c>
    </row>
    <row r="30" spans="3:13">
      <c r="C30" s="7">
        <v>275</v>
      </c>
      <c r="D30" s="1">
        <v>3</v>
      </c>
      <c r="E30" s="3">
        <f>_xll.BfX_Zx(_zunit,_v0,_vunit,_s,_sunit,_h,_hunit,_zero,_zxunit,C30,_xunit,_ctp,_g)</f>
        <v>8.172780236152348E-2</v>
      </c>
      <c r="F30" s="3">
        <f>_xll.BfX_Y(_yunit,_v0,_vunit,_x,_xunit,_vw,_vwunit,C30,_xunit,_ctp,_g)</f>
        <v>0.14028619419158916</v>
      </c>
      <c r="G30" s="3">
        <f>_xll.BfX_Vx(_vxunit,_v0,_vunit,C30,_xunit,_ctp,_g)</f>
        <v>583.82701060256204</v>
      </c>
      <c r="H30" s="8">
        <f>_xll.BfX_Tx(_timeunit,_v0,C30,_ctp,_g)</f>
        <v>0.4183836863521514</v>
      </c>
    </row>
    <row r="31" spans="3:13" ht="15.75" thickBot="1">
      <c r="C31" s="9">
        <v>300</v>
      </c>
      <c r="D31" s="10">
        <v>3</v>
      </c>
      <c r="E31" s="11">
        <f>_xll.BfX_Zx(_zunit,_v0,_vunit,_s,_sunit,_h,_hunit,_zero,_zxunit,C31,_xunit,_ctp,_g)</f>
        <v>4.163336342344337E-17</v>
      </c>
      <c r="F31" s="11">
        <f>_xll.BfX_Y(_yunit,_v0,_vunit,_x,_xunit,_vw,_vwunit,C31,_xunit,_ctp,_g)</f>
        <v>0.16888408321616458</v>
      </c>
      <c r="G31" s="11">
        <f>_xll.BfX_Vx(_vxunit,_v0,_vunit,C31,_xunit,_ctp,_g)</f>
        <v>570.54624682593908</v>
      </c>
      <c r="H31" s="12">
        <f>_xll.BfX_Tx(_timeunit,_v0,C31,_ctp,_g)</f>
        <v>0.46170009981079291</v>
      </c>
    </row>
    <row r="33" spans="3:3">
      <c r="C33" t="str">
        <f>_xll.BfX_IQ(C18:H31)</f>
        <v>BfX - Succesful calculation 1122</v>
      </c>
    </row>
  </sheetData>
  <pageMargins left="0.7" right="0.7" top="0.75" bottom="0.75" header="0.3" footer="0.3"/>
  <legacyDrawing r:id="rId1"/>
  <controls>
    <control shapeId="1026" r:id="rId2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Sheet1</vt:lpstr>
      <vt:lpstr>Sheet2</vt:lpstr>
      <vt:lpstr>Sheet3</vt:lpstr>
      <vt:lpstr>_c</vt:lpstr>
      <vt:lpstr>_ctp</vt:lpstr>
      <vt:lpstr>_g</vt:lpstr>
      <vt:lpstr>_h</vt:lpstr>
      <vt:lpstr>_hunit</vt:lpstr>
      <vt:lpstr>_P</vt:lpstr>
      <vt:lpstr>_Punit</vt:lpstr>
      <vt:lpstr>_s</vt:lpstr>
      <vt:lpstr>_sunit</vt:lpstr>
      <vt:lpstr>_T</vt:lpstr>
      <vt:lpstr>_timeunit</vt:lpstr>
      <vt:lpstr>_Tunit</vt:lpstr>
      <vt:lpstr>_v0</vt:lpstr>
      <vt:lpstr>_vunit</vt:lpstr>
      <vt:lpstr>_vw</vt:lpstr>
      <vt:lpstr>_vwunit</vt:lpstr>
      <vt:lpstr>_vxunit</vt:lpstr>
      <vt:lpstr>_x</vt:lpstr>
      <vt:lpstr>_xunit</vt:lpstr>
      <vt:lpstr>_ynit</vt:lpstr>
      <vt:lpstr>_yunit</vt:lpstr>
      <vt:lpstr>_zero</vt:lpstr>
      <vt:lpstr>_zunit</vt:lpstr>
      <vt:lpstr>_zxunit</vt:lpstr>
      <vt:lpstr>gp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meijerrj</dc:creator>
  <cp:lastModifiedBy>meijerrj</cp:lastModifiedBy>
  <dcterms:created xsi:type="dcterms:W3CDTF">2010-01-18T11:13:31Z</dcterms:created>
  <dcterms:modified xsi:type="dcterms:W3CDTF">2010-05-05T07:49:48Z</dcterms:modified>
</cp:coreProperties>
</file>